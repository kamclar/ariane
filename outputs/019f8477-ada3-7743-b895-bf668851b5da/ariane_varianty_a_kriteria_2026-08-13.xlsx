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nty" sheetId="1" state="visible" r:id="rId1"/>
    <sheet xmlns:r="http://schemas.openxmlformats.org/officeDocument/2006/relationships" name="Poznámky" sheetId="2" state="visible" r:id="rId2"/>
  </sheets>
  <definedNames>
    <definedName name="_xlnm._FilterDatabase" localSheetId="0" hidden="1">'Varianty'!$A$7:$K$27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;[Red]-0;0"/>
  </numFmts>
  <fonts count="9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i val="1"/>
      <color rgb="0052606D"/>
      <sz val="10"/>
    </font>
    <font>
      <name val="Aptos"/>
      <b val="1"/>
      <color rgb="00FFFFFF"/>
      <sz val="10"/>
    </font>
    <font>
      <name val="Aptos Display"/>
      <b val="1"/>
      <color rgb="001F2937"/>
      <sz val="15"/>
    </font>
    <font>
      <name val="Aptos"/>
      <color rgb="001F2937"/>
      <sz val="10"/>
    </font>
    <font>
      <name val="Aptos"/>
      <b val="1"/>
      <color rgb="001F2937"/>
      <sz val="10"/>
    </font>
    <font>
      <name val="Aptos"/>
      <b val="1"/>
      <color rgb="00FFFFFF"/>
    </font>
    <font>
      <name val="Aptos"/>
      <b val="1"/>
      <color rgb="001F2937"/>
    </font>
  </fonts>
  <fills count="10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2F75B5"/>
      </patternFill>
    </fill>
    <fill>
      <patternFill patternType="solid">
        <fgColor rgb="00DCE6F1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7E6E6"/>
      </patternFill>
    </fill>
    <fill>
      <patternFill patternType="solid">
        <fgColor rgb="00E2F0D9"/>
      </patternFill>
    </fill>
    <fill>
      <patternFill patternType="solid">
        <fgColor rgb="00F7F9FC"/>
      </patternFill>
    </fill>
  </fills>
  <borders count="2">
    <border>
      <left/>
      <right/>
      <top/>
      <bottom/>
      <diagonal/>
    </border>
    <border>
      <left style="thin">
        <color rgb="00CCD6E0"/>
      </left>
      <right style="thin">
        <color rgb="00CCD6E0"/>
      </right>
      <top style="thin">
        <color rgb="00CCD6E0"/>
      </top>
      <bottom style="thin">
        <color rgb="00CCD6E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 vertical="top"/>
    </xf>
    <xf numFmtId="164" fontId="5" fillId="0" borderId="1" applyAlignment="1" pivotButton="0" quotePrefix="0" xfId="0">
      <alignment horizontal="right" vertical="top" wrapText="1"/>
    </xf>
    <xf numFmtId="0" fontId="6" fillId="9" borderId="1" applyAlignment="1" pivotButton="0" quotePrefix="0" xfId="0">
      <alignment horizontal="left" vertical="top" wrapText="1"/>
    </xf>
    <xf numFmtId="0" fontId="5" fillId="9" borderId="1" applyAlignment="1" pivotButton="0" quotePrefix="0" xfId="0">
      <alignment horizontal="left" vertical="top" wrapText="1"/>
    </xf>
    <xf numFmtId="0" fontId="5" fillId="9" borderId="1" applyAlignment="1" pivotButton="0" quotePrefix="0" xfId="0">
      <alignment horizontal="center" vertical="top"/>
    </xf>
    <xf numFmtId="164" fontId="5" fillId="9" borderId="1" applyAlignment="1" pivotButton="0" quotePrefix="0" xfId="0">
      <alignment horizontal="right" vertical="top" wrapText="1"/>
    </xf>
    <xf numFmtId="0" fontId="1" fillId="2" borderId="0" applyAlignment="1" pivotButton="0" quotePrefix="0" xfId="0">
      <alignment horizontal="center"/>
    </xf>
    <xf numFmtId="0" fontId="7" fillId="3" borderId="1" applyAlignment="1" pivotButton="0" quotePrefix="0" xfId="0">
      <alignment horizontal="center"/>
    </xf>
    <xf numFmtId="0" fontId="8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8" fillId="9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F4CCCC"/>
        </patternFill>
      </fill>
    </dxf>
    <dxf>
      <fill>
        <patternFill patternType="solid">
          <fgColor rgb="00D9EAD3"/>
        </patternFill>
      </fill>
    </dxf>
    <dxf>
      <fill>
        <patternFill patternType="solid">
          <fgColor rgb="00FCE5CD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ArianeVariantCriteria" displayName="ArianeVariantCriteria" ref="A7:K27" headerRowCount="1">
  <autoFilter ref="A7:K27"/>
  <tableColumns count="11">
    <tableColumn id="1" name="Gen"/>
    <tableColumn id="2" name="Vstupní c. notace"/>
    <tableColumn id="3" name="Kanonická c. notace"/>
    <tableColumn id="4" name="p. následek ARIANE"/>
    <tableColumn id="5" name="Typ varianty"/>
    <tableColumn id="6" name="Kritéria v podkladu"/>
    <tableColumn id="7" name="Kritéria ARIANE"/>
    <tableColumn id="8" name="Klasifikace ARIANE"/>
    <tableColumn id="9" name="Body"/>
    <tableColumn id="10" name="Stav porovnání"/>
    <tableColumn id="11" name="Poznámka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22" customWidth="1" min="3" max="3"/>
    <col width="27" customWidth="1" min="4" max="4"/>
    <col width="23" customWidth="1" min="5" max="5"/>
    <col width="38" customWidth="1" min="6" max="6"/>
    <col width="52" customWidth="1" min="7" max="7"/>
    <col width="20" customWidth="1" min="8" max="8"/>
    <col width="9" customWidth="1" min="9" max="9"/>
    <col width="24" customWidth="1" min="10" max="10"/>
    <col width="50" customWidth="1" min="11" max="11"/>
  </cols>
  <sheetData>
    <row r="1" ht="32" customHeight="1">
      <c r="A1" s="1" t="inlineStr">
        <is>
          <t>ARIANE: varianty, klasifikace a použitá kritéria</t>
        </is>
      </c>
    </row>
    <row r="2" ht="20" customHeight="1">
      <c r="A2" s="2" t="inlineStr">
        <is>
          <t>Porovnání údajů z dodaného textu s aktuálním lokálním výstupem ARIANE dne 13. 8. 2026</t>
        </is>
      </c>
    </row>
    <row r="4" ht="22" customHeight="1">
      <c r="A4" s="3" t="inlineStr">
        <is>
          <t>Počet řádků</t>
        </is>
      </c>
      <c r="B4" s="4" t="n"/>
      <c r="C4" s="3" t="inlineStr">
        <is>
          <t>Class 5</t>
        </is>
      </c>
      <c r="D4" s="4" t="n"/>
      <c r="E4" s="3" t="inlineStr">
        <is>
          <t>Neshody</t>
        </is>
      </c>
      <c r="F4" s="4" t="n"/>
      <c r="G4" s="3" t="inlineStr">
        <is>
          <t>Odmítnuté vstupy</t>
        </is>
      </c>
      <c r="H4" s="4" t="n"/>
      <c r="I4" s="3" t="inlineStr">
        <is>
          <t>Datum kontroly</t>
        </is>
      </c>
      <c r="J4" s="4" t="n"/>
      <c r="K4" s="4" t="n"/>
    </row>
    <row r="5" ht="28" customHeight="1">
      <c r="A5" s="5">
        <f>COUNTA(A8:A27)</f>
        <v/>
      </c>
      <c r="B5" s="4" t="n"/>
      <c r="C5" s="6">
        <f>COUNTIF(H8:H27,"Class 5")</f>
        <v/>
      </c>
      <c r="D5" s="4" t="n"/>
      <c r="E5" s="7">
        <f>COUNTIF(J8:J27,"Neshoda*")</f>
        <v/>
      </c>
      <c r="F5" s="4" t="n"/>
      <c r="G5" s="8">
        <f>COUNTIF(H8:H27,"Odmítnuto")</f>
        <v/>
      </c>
      <c r="H5" s="4" t="n"/>
      <c r="I5" s="9" t="inlineStr">
        <is>
          <t>2026-08-13</t>
        </is>
      </c>
      <c r="J5" s="4" t="n"/>
      <c r="K5" s="4" t="n"/>
    </row>
    <row r="7" ht="34" customHeight="1">
      <c r="A7" s="10" t="inlineStr">
        <is>
          <t>Gen</t>
        </is>
      </c>
      <c r="B7" s="10" t="inlineStr">
        <is>
          <t>Vstupní c. notace</t>
        </is>
      </c>
      <c r="C7" s="10" t="inlineStr">
        <is>
          <t>Kanonická c. notace</t>
        </is>
      </c>
      <c r="D7" s="10" t="inlineStr">
        <is>
          <t>p. následek ARIANE</t>
        </is>
      </c>
      <c r="E7" s="10" t="inlineStr">
        <is>
          <t>Typ varianty</t>
        </is>
      </c>
      <c r="F7" s="10" t="inlineStr">
        <is>
          <t>Kritéria v podkladu</t>
        </is>
      </c>
      <c r="G7" s="10" t="inlineStr">
        <is>
          <t>Kritéria ARIANE</t>
        </is>
      </c>
      <c r="H7" s="10" t="inlineStr">
        <is>
          <t>Klasifikace ARIANE</t>
        </is>
      </c>
      <c r="I7" s="10" t="inlineStr">
        <is>
          <t>Body</t>
        </is>
      </c>
      <c r="J7" s="10" t="inlineStr">
        <is>
          <t>Stav porovnání</t>
        </is>
      </c>
      <c r="K7" s="10" t="inlineStr">
        <is>
          <t>Poznámka</t>
        </is>
      </c>
    </row>
    <row r="8" ht="54" customHeight="1">
      <c r="A8" s="11" t="inlineStr">
        <is>
          <t>BRCA1</t>
        </is>
      </c>
      <c r="B8" s="12" t="inlineStr">
        <is>
          <t>c.181T&gt;G</t>
        </is>
      </c>
      <c r="C8" s="12" t="inlineStr">
        <is>
          <t>c.181T&gt;G</t>
        </is>
      </c>
      <c r="D8" s="12" t="inlineStr">
        <is>
          <t>p.(Cys61Gly)</t>
        </is>
      </c>
      <c r="E8" s="12" t="inlineStr">
        <is>
          <t>missense</t>
        </is>
      </c>
      <c r="F8" s="12" t="inlineStr">
        <is>
          <t>neuvedena</t>
        </is>
      </c>
      <c r="G8" s="12" t="inlineStr">
        <is>
          <t>PS3 Strong; PP3 Supporting; PP4 Very Strong</t>
        </is>
      </c>
      <c r="H8" s="13" t="inlineStr">
        <is>
          <t>Class 5</t>
        </is>
      </c>
      <c r="I8" s="14" t="n">
        <v>13</v>
      </c>
      <c r="J8" s="12" t="inlineStr">
        <is>
          <t>Doplněno z ARIANE</t>
        </is>
      </c>
      <c r="K8" s="12" t="inlineStr">
        <is>
          <t>Referenční báze T je správná.</t>
        </is>
      </c>
    </row>
    <row r="9" ht="54" customHeight="1">
      <c r="A9" s="15" t="inlineStr">
        <is>
          <t>BRCA1</t>
        </is>
      </c>
      <c r="B9" s="16" t="inlineStr">
        <is>
          <t>c.181C&gt;G</t>
        </is>
      </c>
      <c r="C9" s="16" t="inlineStr"/>
      <c r="D9" s="16" t="inlineStr"/>
      <c r="E9" s="16" t="inlineStr">
        <is>
          <t>neplatný vstup</t>
        </is>
      </c>
      <c r="F9" s="16" t="inlineStr">
        <is>
          <t>žádná</t>
        </is>
      </c>
      <c r="G9" s="16" t="inlineStr">
        <is>
          <t>žádná</t>
        </is>
      </c>
      <c r="H9" s="17" t="inlineStr">
        <is>
          <t>Odmítnuto</t>
        </is>
      </c>
      <c r="I9" s="18" t="n"/>
      <c r="J9" s="16" t="inlineStr">
        <is>
          <t>Odmítnuto správně</t>
        </is>
      </c>
      <c r="K9" s="16" t="inlineStr">
        <is>
          <t>Na c.181 je v referenčním transkriptu T, nikoliv C.</t>
        </is>
      </c>
    </row>
    <row r="10" ht="54" customHeight="1">
      <c r="A10" s="11" t="inlineStr">
        <is>
          <t>BRCA1</t>
        </is>
      </c>
      <c r="B10" s="12" t="inlineStr">
        <is>
          <t>c.5366C&gt;T</t>
        </is>
      </c>
      <c r="C10" s="12" t="inlineStr">
        <is>
          <t>c.5366C&gt;T</t>
        </is>
      </c>
      <c r="D10" s="12" t="inlineStr">
        <is>
          <t>p.(Ala1789Val)</t>
        </is>
      </c>
      <c r="E10" s="12" t="inlineStr">
        <is>
          <t>missense</t>
        </is>
      </c>
      <c r="F10" s="12" t="inlineStr">
        <is>
          <t>PP3</t>
        </is>
      </c>
      <c r="G10" s="12" t="inlineStr">
        <is>
          <t>PS3 Strong; PM2 Supporting</t>
        </is>
      </c>
      <c r="H10" s="13" t="inlineStr">
        <is>
          <t>Class 3</t>
        </is>
      </c>
      <c r="I10" s="14" t="n">
        <v>5</v>
      </c>
      <c r="J10" s="12" t="inlineStr">
        <is>
          <t>Neshoda</t>
        </is>
      </c>
      <c r="K10" s="12" t="inlineStr">
        <is>
          <t>Podklad očekává PP3, ale aktuální ARIANE jej neaplikuje.</t>
        </is>
      </c>
    </row>
    <row r="11" ht="54" customHeight="1">
      <c r="A11" s="15" t="inlineStr">
        <is>
          <t>BRCA1</t>
        </is>
      </c>
      <c r="B11" s="16" t="inlineStr">
        <is>
          <t>c.5542C&gt;T</t>
        </is>
      </c>
      <c r="C11" s="16" t="inlineStr">
        <is>
          <t>c.5542C&gt;T</t>
        </is>
      </c>
      <c r="D11" s="16" t="inlineStr">
        <is>
          <t>p.(Gln1848Ter)</t>
        </is>
      </c>
      <c r="E11" s="16" t="inlineStr">
        <is>
          <t>nonsense</t>
        </is>
      </c>
      <c r="F11" s="16" t="inlineStr">
        <is>
          <t>PM5 Strong</t>
        </is>
      </c>
      <c r="G11" s="16" t="inlineStr">
        <is>
          <t>PVS1 Very Strong; PS3 Strong; PM5-PTC Strong; PM2 Supporting</t>
        </is>
      </c>
      <c r="H11" s="17" t="inlineStr">
        <is>
          <t>Class 5</t>
        </is>
      </c>
      <c r="I11" s="18" t="n">
        <v>17</v>
      </c>
      <c r="J11" s="16" t="inlineStr">
        <is>
          <t>Shoda po opravě</t>
        </is>
      </c>
      <c r="K11" s="16" t="inlineStr">
        <is>
          <t>PM5-PTC Strong je nyní aplikováno.</t>
        </is>
      </c>
    </row>
    <row r="12" ht="54" customHeight="1">
      <c r="A12" s="11" t="inlineStr">
        <is>
          <t>BRCA1</t>
        </is>
      </c>
      <c r="B12" s="12" t="inlineStr">
        <is>
          <t>c.3247A&gt;C</t>
        </is>
      </c>
      <c r="C12" s="12" t="inlineStr">
        <is>
          <t>c.3247A&gt;C</t>
        </is>
      </c>
      <c r="D12" s="12" t="inlineStr">
        <is>
          <t>p.(Met1083Leu)</t>
        </is>
      </c>
      <c r="E12" s="12" t="inlineStr">
        <is>
          <t>missense</t>
        </is>
      </c>
      <c r="F12" s="12" t="inlineStr">
        <is>
          <t>BP1 Strong</t>
        </is>
      </c>
      <c r="G12" s="12" t="inlineStr">
        <is>
          <t>PP4 Moderate</t>
        </is>
      </c>
      <c r="H12" s="13" t="inlineStr">
        <is>
          <t>Class 3</t>
        </is>
      </c>
      <c r="I12" s="14" t="n">
        <v>2</v>
      </c>
      <c r="J12" s="12" t="inlineStr">
        <is>
          <t>Neshoda</t>
        </is>
      </c>
      <c r="K12" s="12" t="inlineStr">
        <is>
          <t>Podklad očekává BP1 Strong, ARIANE aplikuje PP4 Moderate.</t>
        </is>
      </c>
    </row>
    <row r="13" ht="54" customHeight="1">
      <c r="A13" s="15" t="inlineStr">
        <is>
          <t>BRCA1</t>
        </is>
      </c>
      <c r="B13" s="16" t="inlineStr">
        <is>
          <t>c.3247A&gt;G</t>
        </is>
      </c>
      <c r="C13" s="16" t="inlineStr">
        <is>
          <t>c.3247A&gt;G</t>
        </is>
      </c>
      <c r="D13" s="16" t="inlineStr">
        <is>
          <t>p.(Met1083Val)</t>
        </is>
      </c>
      <c r="E13" s="16" t="inlineStr">
        <is>
          <t>missense</t>
        </is>
      </c>
      <c r="F13" s="16" t="inlineStr">
        <is>
          <t>BP1 Strong, ale v textu spojeno s p.(Met1083Leu)</t>
        </is>
      </c>
      <c r="G13" s="16" t="inlineStr">
        <is>
          <t>BP1 Strong</t>
        </is>
      </c>
      <c r="H13" s="17" t="inlineStr">
        <is>
          <t>Class 2</t>
        </is>
      </c>
      <c r="I13" s="18" t="n">
        <v>-4</v>
      </c>
      <c r="J13" s="16" t="inlineStr">
        <is>
          <t>Oprava zápisu</t>
        </is>
      </c>
      <c r="K13" s="16" t="inlineStr">
        <is>
          <t>c.3247A&gt;G vede k Met1083Val; Met1083Leu patří k c.3247A&gt;C.</t>
        </is>
      </c>
    </row>
    <row r="14" ht="54" customHeight="1">
      <c r="A14" s="11" t="inlineStr">
        <is>
          <t>BRCA1</t>
        </is>
      </c>
      <c r="B14" s="12" t="inlineStr">
        <is>
          <t>c.5217T&gt;A</t>
        </is>
      </c>
      <c r="C14" s="12" t="inlineStr">
        <is>
          <t>c.5217T&gt;A</t>
        </is>
      </c>
      <c r="D14" s="12" t="inlineStr">
        <is>
          <t>p.(Asp1739Glu)</t>
        </is>
      </c>
      <c r="E14" s="12" t="inlineStr">
        <is>
          <t>missense</t>
        </is>
      </c>
      <c r="F14" s="12" t="inlineStr">
        <is>
          <t>PS3 Strong; PM2 Supporting; PP3 Supporting</t>
        </is>
      </c>
      <c r="G14" s="12" t="inlineStr">
        <is>
          <t>PS3 Strong; PM2 Supporting; PP3 Supporting</t>
        </is>
      </c>
      <c r="H14" s="13" t="inlineStr">
        <is>
          <t>Class 4</t>
        </is>
      </c>
      <c r="I14" s="14" t="n">
        <v>6</v>
      </c>
      <c r="J14" s="12" t="inlineStr">
        <is>
          <t>Shoda</t>
        </is>
      </c>
      <c r="K14" s="12" t="inlineStr">
        <is>
          <t>Kritéria se shodují s podkladem.</t>
        </is>
      </c>
    </row>
    <row r="15" ht="54" customHeight="1">
      <c r="A15" s="15" t="inlineStr">
        <is>
          <t>BRCA2</t>
        </is>
      </c>
      <c r="B15" s="16" t="inlineStr">
        <is>
          <t>c.3703C&gt;T</t>
        </is>
      </c>
      <c r="C15" s="16" t="inlineStr">
        <is>
          <t>c.3703C&gt;T</t>
        </is>
      </c>
      <c r="D15" s="16" t="inlineStr">
        <is>
          <t>p.(Gln1235Ter)</t>
        </is>
      </c>
      <c r="E15" s="16" t="inlineStr">
        <is>
          <t>nonsense</t>
        </is>
      </c>
      <c r="F15" s="16" t="inlineStr">
        <is>
          <t>neuvedena</t>
        </is>
      </c>
      <c r="G15" s="16" t="inlineStr">
        <is>
          <t>PVS1 Very Strong; PM5-PTC Strong; PM2 Supporting</t>
        </is>
      </c>
      <c r="H15" s="17" t="inlineStr">
        <is>
          <t>Class 5</t>
        </is>
      </c>
      <c r="I15" s="18" t="n">
        <v>13</v>
      </c>
      <c r="J15" s="16" t="inlineStr">
        <is>
          <t>Doplněno z ARIANE</t>
        </is>
      </c>
      <c r="K15" s="16" t="inlineStr">
        <is>
          <t>V podkladu šlo o test nerozlišování velikosti písmen.</t>
        </is>
      </c>
    </row>
    <row r="16" ht="54" customHeight="1">
      <c r="A16" s="11" t="inlineStr">
        <is>
          <t>BRCA1</t>
        </is>
      </c>
      <c r="B16" s="12" t="inlineStr">
        <is>
          <t>c.3668_3671dup</t>
        </is>
      </c>
      <c r="C16" s="12" t="inlineStr">
        <is>
          <t>c.3668_3671dup</t>
        </is>
      </c>
      <c r="D16" s="12" t="inlineStr">
        <is>
          <t>p.(Cys1225SerfsTer10)</t>
        </is>
      </c>
      <c r="E16" s="12" t="inlineStr">
        <is>
          <t>duplikace, frameshift</t>
        </is>
      </c>
      <c r="F16" s="12" t="inlineStr">
        <is>
          <t>neuvedena</t>
        </is>
      </c>
      <c r="G16" s="12" t="inlineStr">
        <is>
          <t>PVS1 Very Strong; PM5-PTC Strong; PP4 Strong</t>
        </is>
      </c>
      <c r="H16" s="13" t="inlineStr">
        <is>
          <t>Class 5</t>
        </is>
      </c>
      <c r="I16" s="14" t="n">
        <v>16</v>
      </c>
      <c r="J16" s="12" t="inlineStr">
        <is>
          <t>Doplněno z ARIANE</t>
        </is>
      </c>
      <c r="K16" s="12" t="inlineStr">
        <is>
          <t>ARIANE doplnila plnou třípísmennou p. notaci.</t>
        </is>
      </c>
    </row>
    <row r="17" ht="54" customHeight="1">
      <c r="A17" s="15" t="inlineStr">
        <is>
          <t>BRCA1</t>
        </is>
      </c>
      <c r="B17" s="16" t="inlineStr">
        <is>
          <t>c.2102delA / c.2102del</t>
        </is>
      </c>
      <c r="C17" s="16" t="inlineStr">
        <is>
          <t>c.2102del</t>
        </is>
      </c>
      <c r="D17" s="16" t="inlineStr">
        <is>
          <t>p.(Lys701SerfsTer2)</t>
        </is>
      </c>
      <c r="E17" s="16" t="inlineStr">
        <is>
          <t>delece, frameshift</t>
        </is>
      </c>
      <c r="F17" s="16" t="inlineStr">
        <is>
          <t>neuvedena</t>
        </is>
      </c>
      <c r="G17" s="16" t="inlineStr">
        <is>
          <t>PVS1 Very Strong; PM5-PTC Strong</t>
        </is>
      </c>
      <c r="H17" s="17" t="inlineStr">
        <is>
          <t>Class 5</t>
        </is>
      </c>
      <c r="I17" s="18" t="n">
        <v>12</v>
      </c>
      <c r="J17" s="16" t="inlineStr">
        <is>
          <t>Nyní funkční</t>
        </is>
      </c>
      <c r="K17" s="16" t="inlineStr">
        <is>
          <t>Oba vstupy se normalizují na c.2102del.</t>
        </is>
      </c>
    </row>
    <row r="18" ht="54" customHeight="1">
      <c r="A18" s="11" t="inlineStr">
        <is>
          <t>BRCA1</t>
        </is>
      </c>
      <c r="B18" s="12" t="inlineStr">
        <is>
          <t>c.3141_3161del</t>
        </is>
      </c>
      <c r="C18" s="12" t="inlineStr">
        <is>
          <t>c.3141_3161del</t>
        </is>
      </c>
      <c r="D18" s="12" t="inlineStr">
        <is>
          <t>p.(Thr1051_Ser1057del)</t>
        </is>
      </c>
      <c r="E18" s="12" t="inlineStr">
        <is>
          <t>in-frame delece</t>
        </is>
      </c>
      <c r="F18" s="12" t="inlineStr">
        <is>
          <t>neuvedena</t>
        </is>
      </c>
      <c r="G18" s="12" t="inlineStr">
        <is>
          <t>žádná</t>
        </is>
      </c>
      <c r="H18" s="13" t="inlineStr">
        <is>
          <t>Class 3</t>
        </is>
      </c>
      <c r="I18" s="14" t="n">
        <v>0</v>
      </c>
      <c r="J18" s="12" t="inlineStr">
        <is>
          <t>Doplněno z ARIANE</t>
        </is>
      </c>
      <c r="K18" s="12" t="inlineStr">
        <is>
          <t>V podkladu bylo uvedeno pouze to, že vstup funguje.</t>
        </is>
      </c>
    </row>
    <row r="19" ht="54" customHeight="1">
      <c r="A19" s="15" t="inlineStr">
        <is>
          <t>BRCA1</t>
        </is>
      </c>
      <c r="B19" s="16" t="inlineStr">
        <is>
          <t>c.3877_3878delinsTT</t>
        </is>
      </c>
      <c r="C19" s="16" t="inlineStr">
        <is>
          <t>c.3877_3878delinsTT</t>
        </is>
      </c>
      <c r="D19" s="16" t="inlineStr">
        <is>
          <t>p.(Ala1293Phe)</t>
        </is>
      </c>
      <c r="E19" s="16" t="inlineStr">
        <is>
          <t>delins, missense</t>
        </is>
      </c>
      <c r="F19" s="16" t="inlineStr">
        <is>
          <t>neuvedena</t>
        </is>
      </c>
      <c r="G19" s="16" t="inlineStr">
        <is>
          <t>žádná</t>
        </is>
      </c>
      <c r="H19" s="17" t="inlineStr">
        <is>
          <t>Class 3</t>
        </is>
      </c>
      <c r="I19" s="18" t="n">
        <v>0</v>
      </c>
      <c r="J19" s="16" t="inlineStr">
        <is>
          <t>Doplněno z ARIANE</t>
        </is>
      </c>
      <c r="K19" s="16" t="inlineStr">
        <is>
          <t>Příklad podporovaného zápisu.</t>
        </is>
      </c>
    </row>
    <row r="20" ht="54" customHeight="1">
      <c r="A20" s="11" t="inlineStr">
        <is>
          <t>BRCA1</t>
        </is>
      </c>
      <c r="B20" s="12" t="inlineStr">
        <is>
          <t>c.5569C&gt;T</t>
        </is>
      </c>
      <c r="C20" s="12" t="inlineStr">
        <is>
          <t>c.5569C&gt;T</t>
        </is>
      </c>
      <c r="D20" s="12" t="inlineStr">
        <is>
          <t>p.(Gln1857Ter)</t>
        </is>
      </c>
      <c r="E20" s="12" t="inlineStr">
        <is>
          <t>nonsense</t>
        </is>
      </c>
      <c r="F20" s="12" t="inlineStr">
        <is>
          <t>neuvedena</t>
        </is>
      </c>
      <c r="G20" s="12" t="inlineStr">
        <is>
          <t>PM2 Supporting</t>
        </is>
      </c>
      <c r="H20" s="13" t="inlineStr">
        <is>
          <t>Class 3</t>
        </is>
      </c>
      <c r="I20" s="14" t="n">
        <v>1</v>
      </c>
      <c r="J20" s="12" t="inlineStr">
        <is>
          <t>Doplněno z ARIANE</t>
        </is>
      </c>
      <c r="K20" s="12" t="inlineStr">
        <is>
          <t>Příklad podporovaného zápisu.</t>
        </is>
      </c>
    </row>
    <row r="21" ht="54" customHeight="1">
      <c r="A21" s="15" t="inlineStr">
        <is>
          <t>BRCA1</t>
        </is>
      </c>
      <c r="B21" s="16" t="inlineStr">
        <is>
          <t>c.5193G&gt;A</t>
        </is>
      </c>
      <c r="C21" s="16" t="inlineStr">
        <is>
          <t>c.5193G&gt;A</t>
        </is>
      </c>
      <c r="D21" s="16" t="inlineStr">
        <is>
          <t>p.(Glu1731=)</t>
        </is>
      </c>
      <c r="E21" s="16" t="inlineStr">
        <is>
          <t>synonymní</t>
        </is>
      </c>
      <c r="F21" s="16" t="inlineStr">
        <is>
          <t>neuvedena</t>
        </is>
      </c>
      <c r="G21" s="16" t="inlineStr">
        <is>
          <t>PM2 Supporting; BS3 Strong; BP4 Supporting; BP7 Supporting</t>
        </is>
      </c>
      <c r="H21" s="17" t="inlineStr">
        <is>
          <t>Class 2</t>
        </is>
      </c>
      <c r="I21" s="18" t="n">
        <v>-5</v>
      </c>
      <c r="J21" s="16" t="inlineStr">
        <is>
          <t>Doplněno z ARIANE</t>
        </is>
      </c>
      <c r="K21" s="16" t="inlineStr">
        <is>
          <t>ARIANE kanonizovala starší synonymní zápis na p.(Glu1731=).</t>
        </is>
      </c>
    </row>
    <row r="22" ht="54" customHeight="1">
      <c r="A22" s="11" t="inlineStr">
        <is>
          <t>BRCA1</t>
        </is>
      </c>
      <c r="B22" s="12" t="inlineStr">
        <is>
          <t>c.5478_5479dup</t>
        </is>
      </c>
      <c r="C22" s="12" t="inlineStr">
        <is>
          <t>c.5478_5479dup</t>
        </is>
      </c>
      <c r="D22" s="12" t="inlineStr">
        <is>
          <t>p.(Met1827ArgfsTer8)</t>
        </is>
      </c>
      <c r="E22" s="12" t="inlineStr">
        <is>
          <t>duplikace, frameshift</t>
        </is>
      </c>
      <c r="F22" s="12" t="inlineStr">
        <is>
          <t>neuvedena</t>
        </is>
      </c>
      <c r="G22" s="12" t="inlineStr">
        <is>
          <t>PVS1 Very Strong; PM5-PTC Strong</t>
        </is>
      </c>
      <c r="H22" s="13" t="inlineStr">
        <is>
          <t>Class 5</t>
        </is>
      </c>
      <c r="I22" s="14" t="n">
        <v>12</v>
      </c>
      <c r="J22" s="12" t="inlineStr">
        <is>
          <t>Doplněno z ARIANE</t>
        </is>
      </c>
      <c r="K22" s="12" t="inlineStr">
        <is>
          <t>ARIANE přijímá zkrácené p. aliasy a vrací plnou notaci.</t>
        </is>
      </c>
    </row>
    <row r="23" ht="54" customHeight="1">
      <c r="A23" s="15" t="inlineStr">
        <is>
          <t>BRCA1</t>
        </is>
      </c>
      <c r="B23" s="16" t="inlineStr">
        <is>
          <t>c.5213_5215del</t>
        </is>
      </c>
      <c r="C23" s="16" t="inlineStr">
        <is>
          <t>c.5213_5215del</t>
        </is>
      </c>
      <c r="D23" s="16" t="inlineStr">
        <is>
          <t>p.(Gly1738del)</t>
        </is>
      </c>
      <c r="E23" s="16" t="inlineStr">
        <is>
          <t>in-frame delece</t>
        </is>
      </c>
      <c r="F23" s="16" t="inlineStr">
        <is>
          <t>neuvedena</t>
        </is>
      </c>
      <c r="G23" s="16" t="inlineStr">
        <is>
          <t>PP4 Supporting</t>
        </is>
      </c>
      <c r="H23" s="17" t="inlineStr">
        <is>
          <t>Class 3</t>
        </is>
      </c>
      <c r="I23" s="18" t="n">
        <v>1</v>
      </c>
      <c r="J23" s="16" t="inlineStr">
        <is>
          <t>Doplněno z ARIANE</t>
        </is>
      </c>
      <c r="K23" s="16" t="inlineStr">
        <is>
          <t>Příklad podporovaného zápisu.</t>
        </is>
      </c>
    </row>
    <row r="24" ht="54" customHeight="1">
      <c r="A24" s="11" t="inlineStr">
        <is>
          <t>BRCA1</t>
        </is>
      </c>
      <c r="B24" s="12" t="inlineStr">
        <is>
          <t>c.5467+2T&gt;G</t>
        </is>
      </c>
      <c r="C24" s="12" t="inlineStr">
        <is>
          <t>c.5467+2T&gt;G</t>
        </is>
      </c>
      <c r="D24" s="12" t="inlineStr">
        <is>
          <t>p.?</t>
        </is>
      </c>
      <c r="E24" s="12" t="inlineStr">
        <is>
          <t>splice substituce</t>
        </is>
      </c>
      <c r="F24" s="12" t="inlineStr">
        <is>
          <t>neuvedena</t>
        </is>
      </c>
      <c r="G24" s="12" t="inlineStr">
        <is>
          <t>PVS1 Very Strong; PM2 Supporting</t>
        </is>
      </c>
      <c r="H24" s="13" t="inlineStr">
        <is>
          <t>Class 4</t>
        </is>
      </c>
      <c r="I24" s="14" t="n">
        <v>9</v>
      </c>
      <c r="J24" s="12" t="inlineStr">
        <is>
          <t>Doplněno z ARIANE</t>
        </is>
      </c>
      <c r="K24" s="12" t="inlineStr">
        <is>
          <t>Proteinový následek nelze bez RNA bezpečně určit.</t>
        </is>
      </c>
    </row>
    <row r="25" ht="54" customHeight="1">
      <c r="A25" s="15" t="inlineStr">
        <is>
          <t>BRCA1</t>
        </is>
      </c>
      <c r="B25" s="16" t="inlineStr">
        <is>
          <t>c.5556_5560del</t>
        </is>
      </c>
      <c r="C25" s="16" t="inlineStr">
        <is>
          <t>c.5556_5560del</t>
        </is>
      </c>
      <c r="D25" s="16" t="inlineStr">
        <is>
          <t>p.(Tyr1853AspfsTer25)</t>
        </is>
      </c>
      <c r="E25" s="16" t="inlineStr">
        <is>
          <t>delece, frameshift</t>
        </is>
      </c>
      <c r="F25" s="16" t="inlineStr">
        <is>
          <t>PVS1 Very Strong; PM5 Strong</t>
        </is>
      </c>
      <c r="G25" s="16" t="inlineStr">
        <is>
          <t>PVS1 Very Strong; PM5-PTC Strong</t>
        </is>
      </c>
      <c r="H25" s="17" t="inlineStr">
        <is>
          <t>Class 5</t>
        </is>
      </c>
      <c r="I25" s="18" t="n">
        <v>12</v>
      </c>
      <c r="J25" s="16" t="inlineStr">
        <is>
          <t>Shoda po opravě</t>
        </is>
      </c>
      <c r="K25" s="16" t="inlineStr">
        <is>
          <t>Oprava podle Appendix D je aktivní.</t>
        </is>
      </c>
    </row>
    <row r="26" ht="54" customHeight="1">
      <c r="A26" s="11" t="inlineStr">
        <is>
          <t>BRCA1</t>
        </is>
      </c>
      <c r="B26" s="12" t="inlineStr">
        <is>
          <t>c.5533_5534insG</t>
        </is>
      </c>
      <c r="C26" s="12" t="inlineStr">
        <is>
          <t>c.5533_5534insG</t>
        </is>
      </c>
      <c r="D26" s="12" t="inlineStr">
        <is>
          <t>p.(Tyr1845Ter)</t>
        </is>
      </c>
      <c r="E26" s="12" t="inlineStr">
        <is>
          <t>inzerce s PTC</t>
        </is>
      </c>
      <c r="F26" s="12" t="inlineStr">
        <is>
          <t>PVS1 Very Strong; PM5 Strong</t>
        </is>
      </c>
      <c r="G26" s="12" t="inlineStr">
        <is>
          <t>PVS1 Very Strong; PM5-PTC Strong</t>
        </is>
      </c>
      <c r="H26" s="13" t="inlineStr">
        <is>
          <t>Class 5</t>
        </is>
      </c>
      <c r="I26" s="14" t="n">
        <v>12</v>
      </c>
      <c r="J26" s="12" t="inlineStr">
        <is>
          <t>Shoda po opravě</t>
        </is>
      </c>
      <c r="K26" s="12" t="inlineStr">
        <is>
          <t>PM2 se pro tento indel již nepoužívá.</t>
        </is>
      </c>
    </row>
    <row r="27" ht="54" customHeight="1">
      <c r="A27" s="15" t="inlineStr">
        <is>
          <t>BRCA2</t>
        </is>
      </c>
      <c r="B27" s="16" t="inlineStr">
        <is>
          <t>c.9891_9894dup</t>
        </is>
      </c>
      <c r="C27" s="16" t="inlineStr">
        <is>
          <t>c.9891_9894dup</t>
        </is>
      </c>
      <c r="D27" s="16" t="inlineStr">
        <is>
          <t>p.(Gln3299IlefsTer29)</t>
        </is>
      </c>
      <c r="E27" s="16" t="inlineStr">
        <is>
          <t>duplikace, frameshift</t>
        </is>
      </c>
      <c r="F27" s="16" t="inlineStr">
        <is>
          <t>PVS1 Very Strong; PM5 Strong; možná BS1 Supporting</t>
        </is>
      </c>
      <c r="G27" s="16" t="inlineStr">
        <is>
          <t>PVS1 Very Strong; PM5-PTC Strong; BP5 Supporting</t>
        </is>
      </c>
      <c r="H27" s="17" t="inlineStr">
        <is>
          <t>Class 5</t>
        </is>
      </c>
      <c r="I27" s="18" t="n">
        <v>11</v>
      </c>
      <c r="J27" s="16" t="inlineStr">
        <is>
          <t>Částečná shoda</t>
        </is>
      </c>
      <c r="K27" s="16" t="inlineStr">
        <is>
          <t>PVS1 a PM5 se shodují; ARIANE přidává BP5 Supporting, nikoliv BS1.</t>
        </is>
      </c>
    </row>
  </sheetData>
  <autoFilter ref="A7:K27"/>
  <mergeCells count="12">
    <mergeCell ref="A4:B4"/>
    <mergeCell ref="G4:H4"/>
    <mergeCell ref="E4:F4"/>
    <mergeCell ref="I5:K5"/>
    <mergeCell ref="C5:D5"/>
    <mergeCell ref="A5:B5"/>
    <mergeCell ref="A2:K2"/>
    <mergeCell ref="E5:F5"/>
    <mergeCell ref="G5:H5"/>
    <mergeCell ref="I4:K4"/>
    <mergeCell ref="A1:K1"/>
    <mergeCell ref="C4:D4"/>
  </mergeCells>
  <conditionalFormatting sqref="J8:J27">
    <cfRule type="expression" priority="1" dxfId="0">
      <formula>LEFT(J8,7)="Neshoda"</formula>
    </cfRule>
    <cfRule type="expression" priority="2" dxfId="1">
      <formula>OR(LEFT(J8,5)="Shoda",LEFT(J8,4)="Nyní")</formula>
    </cfRule>
    <cfRule type="expression" priority="3" dxfId="2">
      <formula>LEFT(J8,9)="Odmítnuto"</formula>
    </cfRule>
    <cfRule type="expression" priority="4" dxfId="3">
      <formula>OR(LEFT(J8,9)="Částečná",LEFT(J8,6)="Oprava")</formula>
    </cfRule>
  </conditionalFormatting>
  <conditionalFormatting sqref="H8:H27">
    <cfRule type="expression" priority="5" dxfId="0">
      <formula>H8="Class 5"</formula>
    </cfRule>
    <cfRule type="expression" priority="6" dxfId="2">
      <formula>H8="Class 4"</formula>
    </cfRule>
    <cfRule type="expression" priority="7" dxfId="3">
      <formula>H8="Class 3"</formula>
    </cfRule>
    <cfRule type="expression" priority="8" dxfId="1">
      <formula>H8="Class 2"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05" customWidth="1" min="2" max="2"/>
  </cols>
  <sheetData>
    <row r="1" ht="32" customHeight="1">
      <c r="A1" s="19" t="inlineStr">
        <is>
          <t>Poznámky k porovnání</t>
        </is>
      </c>
    </row>
    <row r="3">
      <c r="A3" s="20" t="inlineStr">
        <is>
          <t>Téma</t>
        </is>
      </c>
      <c r="B3" s="20" t="inlineStr">
        <is>
          <t>Vysvětlení</t>
        </is>
      </c>
    </row>
    <row r="4" ht="48" customHeight="1">
      <c r="A4" s="21" t="inlineStr">
        <is>
          <t>Rozsah</t>
        </is>
      </c>
      <c r="B4" s="22" t="inlineStr">
        <is>
          <t>Tabulka obsahuje unikátní varianty a testovací vstupy vybrané z dodaného textu. Kritéria ARIANE pocházejí z aktuálního lokálního běhu.</t>
        </is>
      </c>
    </row>
    <row r="5" ht="48" customHeight="1">
      <c r="A5" s="23" t="inlineStr">
        <is>
          <t>Aplikovaná kritéria</t>
        </is>
      </c>
      <c r="B5" s="24" t="inlineStr">
        <is>
          <t>Uvedena jsou pouze kritéria, která ARIANE skutečně aplikovala a započítala. Kandidáti pro manuální revizi nejsou ve sloupci Kritéria ARIANE.</t>
        </is>
      </c>
    </row>
    <row r="6" ht="48" customHeight="1">
      <c r="A6" s="21" t="inlineStr">
        <is>
          <t>BRCA1 c.5366C&gt;T</t>
        </is>
      </c>
      <c r="B6" s="22" t="inlineStr">
        <is>
          <t>Podklad očekává PP3, ale aktuální ARIANE vrací PS3 Strong a PM2 Supporting bez PP3. Tato neshoda zůstává k prověření.</t>
        </is>
      </c>
    </row>
    <row r="7" ht="48" customHeight="1">
      <c r="A7" s="23" t="inlineStr">
        <is>
          <t>BRCA1 c.3247A&gt;C</t>
        </is>
      </c>
      <c r="B7" s="24" t="inlineStr">
        <is>
          <t>Tato varianta vede k p.(Met1083Leu). Podklad očekává BP1 Strong, zatímco aktuální ARIANE vrací PP4 Moderate.</t>
        </is>
      </c>
    </row>
    <row r="8" ht="48" customHeight="1">
      <c r="A8" s="21" t="inlineStr">
        <is>
          <t>BRCA1 c.3247A&gt;G</t>
        </is>
      </c>
      <c r="B8" s="22" t="inlineStr">
        <is>
          <t>Jde o jinou variantu s následkem p.(Met1083Val). ARIANE u ní vrací BP1 Strong.</t>
        </is>
      </c>
    </row>
    <row r="9" ht="48" customHeight="1">
      <c r="A9" s="23" t="inlineStr">
        <is>
          <t>Referenční kontrola</t>
        </is>
      </c>
      <c r="B9" s="24" t="inlineStr">
        <is>
          <t>BRCA1 c.181C&gt;G je správně odmítnuta, protože referenční báze na c.181 je T.</t>
        </is>
      </c>
    </row>
    <row r="10" ht="48" customHeight="1">
      <c r="A10" s="21" t="inlineStr">
        <is>
          <t>Časová platnost</t>
        </is>
      </c>
      <c r="B10" s="22" t="inlineStr">
        <is>
          <t>Výsledky odpovídají lokálnímu stavu aplikace a dostupným datovým zdrojům dne 13. 8. 2026.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2026-08-13T07:40:03Z</dcterms:created>
  <dcterms:modified xmlns:dcterms="http://purl.org/dc/terms/" xmlns:xsi="http://www.w3.org/2001/XMLSchema-instance" xsi:type="dcterms:W3CDTF">2026-08-13T07:40:03Z</dcterms:modified>
</cp:coreProperties>
</file>